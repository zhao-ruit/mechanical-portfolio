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versitle_robot_arm\"/>
    </mc:Choice>
  </mc:AlternateContent>
  <xr:revisionPtr revIDLastSave="0" documentId="13_ncr:1_{D1340885-8EBE-475C-8D35-05C3A3489D47}" xr6:coauthVersionLast="47" xr6:coauthVersionMax="47" xr10:uidLastSave="{00000000-0000-0000-0000-000000000000}"/>
  <bookViews>
    <workbookView xWindow="-25710" yWindow="-3210" windowWidth="25820" windowHeight="15500" activeTab="1" xr2:uid="{19368F46-6C18-4174-9006-DA5D0AACC196}"/>
  </bookViews>
  <sheets>
    <sheet name="Specifications" sheetId="1" r:id="rId1"/>
    <sheet name="Joint Mechanis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2" l="1"/>
  <c r="G9" i="2" s="1"/>
  <c r="I9" i="2" s="1"/>
  <c r="E7" i="2"/>
  <c r="G7" i="2" s="1"/>
  <c r="I7" i="2" s="1"/>
  <c r="E8" i="2"/>
  <c r="G8" i="2" s="1"/>
  <c r="I8" i="2" s="1"/>
</calcChain>
</file>

<file path=xl/sharedStrings.xml><?xml version="1.0" encoding="utf-8"?>
<sst xmlns="http://schemas.openxmlformats.org/spreadsheetml/2006/main" count="90" uniqueCount="67">
  <si>
    <t>Dobt Magician</t>
  </si>
  <si>
    <t>DOF</t>
  </si>
  <si>
    <t>Reach</t>
  </si>
  <si>
    <t>Payload</t>
  </si>
  <si>
    <t>Repeatablity</t>
  </si>
  <si>
    <t>Weight</t>
  </si>
  <si>
    <t>±0.2 mm</t>
  </si>
  <si>
    <t>340 mm</t>
  </si>
  <si>
    <t>Brand</t>
  </si>
  <si>
    <t>Dobot Magician Lite(Benchmark)</t>
  </si>
  <si>
    <t>myCobot 208</t>
  </si>
  <si>
    <t>320mm</t>
  </si>
  <si>
    <t>500g</t>
  </si>
  <si>
    <t>250g</t>
  </si>
  <si>
    <t>±0.5 mm</t>
  </si>
  <si>
    <t>860 g</t>
  </si>
  <si>
    <t>Mian Control Type</t>
  </si>
  <si>
    <t>Raspberry Pi</t>
  </si>
  <si>
    <t>Shoulder</t>
  </si>
  <si>
    <t>Elbow</t>
  </si>
  <si>
    <t>URL</t>
  </si>
  <si>
    <t>Illustration</t>
  </si>
  <si>
    <t>WLKATA</t>
  </si>
  <si>
    <t>https://qviro.com/product/wlkata-robotics/mirobot/specifications</t>
  </si>
  <si>
    <t>https://www.elephantrobotics.com/en/mycobot-280-pi-2023-specifications/</t>
  </si>
  <si>
    <t>https://de.dobot-robots.com/products/education/magician-lite.html</t>
  </si>
  <si>
    <t>https://www.dobot-robots.com/products/desktop-four-axis/mg400.html</t>
  </si>
  <si>
    <t>280mm</t>
  </si>
  <si>
    <t>N/A</t>
  </si>
  <si>
    <t>Dobot Magician E6</t>
  </si>
  <si>
    <t>±0.1 mm</t>
  </si>
  <si>
    <t>450mm</t>
  </si>
  <si>
    <t>https://mono.ipros.com/en/product/detail/2001550206/</t>
  </si>
  <si>
    <t>720g</t>
  </si>
  <si>
    <t>wrist</t>
  </si>
  <si>
    <t>Gripper</t>
  </si>
  <si>
    <t>Base</t>
  </si>
  <si>
    <t>L1</t>
  </si>
  <si>
    <t>L2</t>
  </si>
  <si>
    <t>L3(wrist+gripper)</t>
  </si>
  <si>
    <t>40–60 mm</t>
  </si>
  <si>
    <t>Target payload</t>
  </si>
  <si>
    <t>±3–5 mm</t>
  </si>
  <si>
    <t>Cycloidal</t>
  </si>
  <si>
    <t>Belt</t>
  </si>
  <si>
    <t>Joints' Mechanism</t>
  </si>
  <si>
    <t>TBD</t>
  </si>
  <si>
    <t>Target Reach</t>
  </si>
  <si>
    <t>Efficiency</t>
  </si>
  <si>
    <t>Safety Factor</t>
  </si>
  <si>
    <t>Verified Posture</t>
  </si>
  <si>
    <t>Fully extended</t>
  </si>
  <si>
    <t>Target Repeatibility</t>
  </si>
  <si>
    <t>130 mm</t>
  </si>
  <si>
    <t>170-140 mm</t>
  </si>
  <si>
    <t>100-130 mm</t>
  </si>
  <si>
    <t>280-360 mm</t>
  </si>
  <si>
    <t>Norminal Distance (m)</t>
  </si>
  <si>
    <t>Target payload (kg)</t>
  </si>
  <si>
    <t>Min Torque Needed (Nm)</t>
  </si>
  <si>
    <t>300-500 g</t>
  </si>
  <si>
    <t>Suggested Selected Ratio</t>
  </si>
  <si>
    <t>Calculated Min Ratio</t>
  </si>
  <si>
    <t>Motor Torque (Nm)</t>
  </si>
  <si>
    <t>150 mm</t>
  </si>
  <si>
    <t>60 mm</t>
  </si>
  <si>
    <t>340mm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</si>
</sst>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5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1" applyBorder="1" applyAlignment="1">
      <alignment horizontal="center" vertical="center"/>
    </xf>
    <xf numFmtId="0" fontId="2" fillId="2" borderId="1" xfId="2" applyBorder="1" applyAlignment="1">
      <alignment horizontal="center" vertical="center"/>
    </xf>
    <xf numFmtId="0" fontId="2" fillId="2" borderId="1" xfId="2" applyBorder="1"/>
    <xf numFmtId="0" fontId="2" fillId="2" borderId="0" xfId="2" applyBorder="1" applyAlignment="1">
      <alignment horizontal="center" vertical="center"/>
    </xf>
    <xf numFmtId="0" fontId="3" fillId="3" borderId="0" xfId="3" applyBorder="1" applyAlignment="1">
      <alignment horizontal="center" vertical="center"/>
    </xf>
    <xf numFmtId="0" fontId="3" fillId="3" borderId="0" xfId="3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2" applyAlignment="1">
      <alignment horizontal="center" vertical="center"/>
    </xf>
    <xf numFmtId="0" fontId="3" fillId="3" borderId="0" xfId="3" applyAlignment="1">
      <alignment horizontal="center" vertical="center"/>
    </xf>
  </cellXfs>
  <cellStyles count="4">
    <cellStyle name="Good" xfId="2" builtinId="26"/>
    <cellStyle name="Hyperlink" xfId="1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89648</xdr:colOff>
      <xdr:row>3</xdr:row>
      <xdr:rowOff>22410</xdr:rowOff>
    </xdr:from>
    <xdr:to>
      <xdr:col>7</xdr:col>
      <xdr:colOff>1918448</xdr:colOff>
      <xdr:row>3</xdr:row>
      <xdr:rowOff>1851210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ABA461-ED5A-01CF-B625-8AA3B89F23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1824" y="4022910"/>
          <a:ext cx="1828800" cy="1828800"/>
        </a:xfrm>
        <a:prstGeom prst="rect">
          <a:avLst/>
        </a:prstGeom>
      </xdr:spPr>
    </xdr:pic>
    <xdr:clientData/>
  </xdr:twoCellAnchor>
  <xdr:twoCellAnchor>
    <xdr:from>
      <xdr:col>7</xdr:col>
      <xdr:colOff>89648</xdr:colOff>
      <xdr:row>5</xdr:row>
      <xdr:rowOff>1352</xdr:rowOff>
    </xdr:from>
    <xdr:to>
      <xdr:col>7</xdr:col>
      <xdr:colOff>1918448</xdr:colOff>
      <xdr:row>5</xdr:row>
      <xdr:rowOff>1840194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A9C170-E6FF-280B-FF37-C55551063C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1824" y="7811852"/>
          <a:ext cx="1828800" cy="1838842"/>
        </a:xfrm>
        <a:prstGeom prst="rect">
          <a:avLst/>
        </a:prstGeom>
      </xdr:spPr>
    </xdr:pic>
    <xdr:clientData/>
  </xdr:twoCellAnchor>
  <xdr:twoCellAnchor>
    <xdr:from>
      <xdr:col>7</xdr:col>
      <xdr:colOff>89648</xdr:colOff>
      <xdr:row>4</xdr:row>
      <xdr:rowOff>60645</xdr:rowOff>
    </xdr:from>
    <xdr:to>
      <xdr:col>7</xdr:col>
      <xdr:colOff>1918448</xdr:colOff>
      <xdr:row>4</xdr:row>
      <xdr:rowOff>1859811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6181F0-22AC-5CB0-5361-0AC98EDC1239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47" r="23147"/>
        <a:stretch>
          <a:fillRect/>
        </a:stretch>
      </xdr:blipFill>
      <xdr:spPr>
        <a:xfrm>
          <a:off x="6521824" y="5966145"/>
          <a:ext cx="1828800" cy="1799166"/>
        </a:xfrm>
        <a:prstGeom prst="rect">
          <a:avLst/>
        </a:prstGeom>
      </xdr:spPr>
    </xdr:pic>
    <xdr:clientData/>
  </xdr:twoCellAnchor>
  <xdr:twoCellAnchor>
    <xdr:from>
      <xdr:col>7</xdr:col>
      <xdr:colOff>89648</xdr:colOff>
      <xdr:row>2</xdr:row>
      <xdr:rowOff>44823</xdr:rowOff>
    </xdr:from>
    <xdr:to>
      <xdr:col>7</xdr:col>
      <xdr:colOff>1918448</xdr:colOff>
      <xdr:row>2</xdr:row>
      <xdr:rowOff>1873623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2912113-E1E7-609D-6BD0-70DD58267E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1824" y="2196352"/>
          <a:ext cx="1828800" cy="1828800"/>
        </a:xfrm>
        <a:prstGeom prst="rect">
          <a:avLst/>
        </a:prstGeom>
      </xdr:spPr>
    </xdr:pic>
    <xdr:clientData/>
  </xdr:twoCellAnchor>
  <xdr:twoCellAnchor>
    <xdr:from>
      <xdr:col>7</xdr:col>
      <xdr:colOff>89648</xdr:colOff>
      <xdr:row>1</xdr:row>
      <xdr:rowOff>56032</xdr:rowOff>
    </xdr:from>
    <xdr:to>
      <xdr:col>7</xdr:col>
      <xdr:colOff>1918448</xdr:colOff>
      <xdr:row>1</xdr:row>
      <xdr:rowOff>1854991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24DA350-E936-A091-8579-BE0D44248E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1824" y="302561"/>
          <a:ext cx="1828800" cy="1798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.dobot-robots.com/products/education/magician-lite.html" TargetMode="External"/><Relationship Id="rId2" Type="http://schemas.openxmlformats.org/officeDocument/2006/relationships/hyperlink" Target="https://www.elephantrobotics.com/en/mycobot-280-pi-2023-specifications/" TargetMode="External"/><Relationship Id="rId1" Type="http://schemas.openxmlformats.org/officeDocument/2006/relationships/hyperlink" Target="https://qviro.com/product/wlkata-robotics/mirobot/specifications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mono.ipros.com/en/product/detail/2001550206/" TargetMode="External"/><Relationship Id="rId4" Type="http://schemas.openxmlformats.org/officeDocument/2006/relationships/hyperlink" Target="https://www.dobot-robots.com/products/desktop-four-axis/mg40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6B1C-0568-408A-BF09-59A57E927986}">
  <dimension ref="A1:O6"/>
  <sheetViews>
    <sheetView zoomScale="85" zoomScaleNormal="85" workbookViewId="0">
      <selection activeCell="I4" sqref="I4"/>
    </sheetView>
  </sheetViews>
  <sheetFormatPr defaultRowHeight="15" x14ac:dyDescent="0.25"/>
  <cols>
    <col min="1" max="1" width="30.42578125" bestFit="1" customWidth="1"/>
    <col min="5" max="5" width="12.28515625" bestFit="1" customWidth="1"/>
    <col min="7" max="7" width="17.42578125" bestFit="1" customWidth="1"/>
    <col min="8" max="8" width="30.7109375" customWidth="1"/>
    <col min="9" max="9" width="72.5703125" bestFit="1" customWidth="1"/>
    <col min="10" max="12" width="15.7109375" customWidth="1"/>
  </cols>
  <sheetData>
    <row r="1" spans="1:15" ht="20.100000000000001" customHeight="1" x14ac:dyDescent="0.25">
      <c r="A1" s="3" t="s">
        <v>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16</v>
      </c>
      <c r="H1" s="3" t="s">
        <v>21</v>
      </c>
      <c r="I1" s="3" t="s">
        <v>20</v>
      </c>
    </row>
    <row r="2" spans="1:15" ht="150" customHeight="1" x14ac:dyDescent="0.25">
      <c r="A2" s="6" t="s">
        <v>9</v>
      </c>
      <c r="B2" s="6">
        <v>4</v>
      </c>
      <c r="C2" s="6" t="s">
        <v>7</v>
      </c>
      <c r="D2" s="6" t="s">
        <v>13</v>
      </c>
      <c r="E2" s="6" t="s">
        <v>6</v>
      </c>
      <c r="F2" s="6" t="s">
        <v>28</v>
      </c>
      <c r="G2" s="6" t="s">
        <v>28</v>
      </c>
      <c r="H2" s="7"/>
      <c r="I2" s="6" t="s">
        <v>25</v>
      </c>
    </row>
    <row r="3" spans="1:15" ht="150" customHeight="1" x14ac:dyDescent="0.25">
      <c r="A3" s="3" t="s">
        <v>0</v>
      </c>
      <c r="B3" s="3">
        <v>4</v>
      </c>
      <c r="C3" s="3" t="s">
        <v>11</v>
      </c>
      <c r="D3" s="3" t="s">
        <v>12</v>
      </c>
      <c r="E3" s="3" t="s">
        <v>6</v>
      </c>
      <c r="F3" s="3" t="s">
        <v>28</v>
      </c>
      <c r="G3" s="3" t="s">
        <v>28</v>
      </c>
      <c r="H3" s="4"/>
      <c r="I3" s="5" t="s">
        <v>26</v>
      </c>
    </row>
    <row r="4" spans="1:15" ht="150" customHeight="1" x14ac:dyDescent="0.25">
      <c r="A4" s="3" t="s">
        <v>10</v>
      </c>
      <c r="B4" s="3">
        <v>6</v>
      </c>
      <c r="C4" s="3" t="s">
        <v>27</v>
      </c>
      <c r="D4" s="3" t="s">
        <v>13</v>
      </c>
      <c r="E4" s="3" t="s">
        <v>14</v>
      </c>
      <c r="F4" s="3" t="s">
        <v>15</v>
      </c>
      <c r="G4" s="3" t="s">
        <v>17</v>
      </c>
      <c r="H4" s="4"/>
      <c r="I4" s="5" t="s">
        <v>24</v>
      </c>
    </row>
    <row r="5" spans="1:15" ht="150" customHeight="1" x14ac:dyDescent="0.25">
      <c r="A5" s="3" t="s">
        <v>22</v>
      </c>
      <c r="B5" s="3">
        <v>6</v>
      </c>
      <c r="C5" s="3" t="s">
        <v>28</v>
      </c>
      <c r="D5" s="3" t="s">
        <v>13</v>
      </c>
      <c r="E5" s="3" t="s">
        <v>6</v>
      </c>
      <c r="F5" s="3" t="s">
        <v>28</v>
      </c>
      <c r="G5" s="3" t="s">
        <v>28</v>
      </c>
      <c r="H5" s="4"/>
      <c r="I5" s="5" t="s">
        <v>23</v>
      </c>
      <c r="O5" s="1"/>
    </row>
    <row r="6" spans="1:15" ht="150" customHeight="1" x14ac:dyDescent="0.25">
      <c r="A6" s="3" t="s">
        <v>29</v>
      </c>
      <c r="B6" s="3">
        <v>6</v>
      </c>
      <c r="C6" s="3" t="s">
        <v>31</v>
      </c>
      <c r="D6" s="3" t="s">
        <v>12</v>
      </c>
      <c r="E6" s="3" t="s">
        <v>30</v>
      </c>
      <c r="F6" s="3" t="s">
        <v>33</v>
      </c>
      <c r="G6" s="3" t="s">
        <v>28</v>
      </c>
      <c r="H6" s="4"/>
      <c r="I6" s="5" t="s">
        <v>32</v>
      </c>
    </row>
  </sheetData>
  <hyperlinks>
    <hyperlink ref="I5" r:id="rId1" xr:uid="{E43B942F-228A-4AEF-BDCF-57E30FA2C755}"/>
    <hyperlink ref="I4" r:id="rId2" xr:uid="{562A70A3-8C0A-4372-989F-A4118FD1340D}"/>
    <hyperlink ref="I2" r:id="rId3" xr:uid="{95AFCED3-3856-4D1E-A312-73A59D4BCEF1}"/>
    <hyperlink ref="I3" r:id="rId4" xr:uid="{4FBC5E9F-54CB-479B-B852-CEA9D04BC119}"/>
    <hyperlink ref="I6" r:id="rId5" xr:uid="{F4F9F55F-51DB-4898-9E5B-FB1502E14B40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29C8-51E4-4A2C-8B80-C87E25D00A4F}">
  <dimension ref="A1:I15"/>
  <sheetViews>
    <sheetView tabSelected="1" workbookViewId="0">
      <selection activeCell="D13" sqref="D13"/>
    </sheetView>
  </sheetViews>
  <sheetFormatPr defaultRowHeight="15" x14ac:dyDescent="0.25"/>
  <cols>
    <col min="1" max="10" width="25.7109375" customWidth="1"/>
  </cols>
  <sheetData>
    <row r="1" spans="1:9" x14ac:dyDescent="0.25">
      <c r="A1" s="9" t="s">
        <v>37</v>
      </c>
      <c r="B1" s="9" t="s">
        <v>38</v>
      </c>
      <c r="C1" s="9" t="s">
        <v>39</v>
      </c>
      <c r="D1" s="9" t="s">
        <v>47</v>
      </c>
      <c r="E1" s="9" t="s">
        <v>41</v>
      </c>
      <c r="F1" s="9" t="s">
        <v>52</v>
      </c>
      <c r="G1" s="9" t="s">
        <v>50</v>
      </c>
      <c r="H1" s="14"/>
    </row>
    <row r="2" spans="1:9" ht="15" customHeight="1" x14ac:dyDescent="0.25">
      <c r="A2" s="10" t="s">
        <v>54</v>
      </c>
      <c r="B2" s="10" t="s">
        <v>55</v>
      </c>
      <c r="C2" s="9" t="s">
        <v>40</v>
      </c>
      <c r="D2" s="9" t="s">
        <v>56</v>
      </c>
      <c r="E2" s="9" t="s">
        <v>60</v>
      </c>
      <c r="F2" s="9" t="s">
        <v>42</v>
      </c>
      <c r="G2" s="9" t="s">
        <v>51</v>
      </c>
      <c r="H2" s="14"/>
    </row>
    <row r="3" spans="1:9" ht="15" customHeight="1" x14ac:dyDescent="0.25">
      <c r="A3" s="8" t="s">
        <v>37</v>
      </c>
      <c r="B3" s="8" t="s">
        <v>38</v>
      </c>
      <c r="C3" s="8" t="s">
        <v>39</v>
      </c>
      <c r="D3" s="8" t="s">
        <v>47</v>
      </c>
      <c r="E3" s="8" t="s">
        <v>58</v>
      </c>
      <c r="F3" s="8" t="s">
        <v>52</v>
      </c>
      <c r="G3" s="8" t="s">
        <v>50</v>
      </c>
      <c r="H3" s="13"/>
    </row>
    <row r="4" spans="1:9" x14ac:dyDescent="0.25">
      <c r="A4" s="13" t="s">
        <v>64</v>
      </c>
      <c r="B4" s="13" t="s">
        <v>53</v>
      </c>
      <c r="C4" s="13" t="s">
        <v>65</v>
      </c>
      <c r="D4" s="13" t="s">
        <v>66</v>
      </c>
      <c r="E4" s="13">
        <v>0.5</v>
      </c>
      <c r="F4" s="8" t="s">
        <v>42</v>
      </c>
      <c r="G4" s="13" t="s">
        <v>51</v>
      </c>
      <c r="H4" s="13"/>
    </row>
    <row r="5" spans="1:9" x14ac:dyDescent="0.25">
      <c r="A5" s="12"/>
      <c r="B5" s="12" t="s">
        <v>63</v>
      </c>
      <c r="C5" s="12" t="s">
        <v>45</v>
      </c>
      <c r="D5" s="12" t="s">
        <v>57</v>
      </c>
      <c r="E5" s="12" t="s">
        <v>59</v>
      </c>
      <c r="F5" s="12" t="s">
        <v>48</v>
      </c>
      <c r="G5" s="12" t="s">
        <v>62</v>
      </c>
      <c r="H5" s="12" t="s">
        <v>61</v>
      </c>
      <c r="I5" s="12" t="s">
        <v>49</v>
      </c>
    </row>
    <row r="6" spans="1:9" x14ac:dyDescent="0.25">
      <c r="A6" s="12" t="s">
        <v>36</v>
      </c>
      <c r="B6" s="11">
        <v>0.78</v>
      </c>
      <c r="C6" s="12" t="s">
        <v>43</v>
      </c>
    </row>
    <row r="7" spans="1:9" x14ac:dyDescent="0.25">
      <c r="A7" s="12" t="s">
        <v>18</v>
      </c>
      <c r="B7" s="12">
        <v>0.78</v>
      </c>
      <c r="C7" s="12" t="s">
        <v>43</v>
      </c>
      <c r="D7" s="12">
        <v>0.34</v>
      </c>
      <c r="E7" s="12">
        <f>E4*9.81*D7</f>
        <v>1.6677000000000002</v>
      </c>
      <c r="F7" s="12">
        <v>0.65</v>
      </c>
      <c r="G7" s="12">
        <f>E7/(B7*F7)</f>
        <v>3.2893491124260357</v>
      </c>
      <c r="H7" s="11">
        <v>15</v>
      </c>
      <c r="I7" s="11">
        <f>H7/G7</f>
        <v>4.560172692930383</v>
      </c>
    </row>
    <row r="8" spans="1:9" x14ac:dyDescent="0.25">
      <c r="A8" s="12" t="s">
        <v>19</v>
      </c>
      <c r="B8" s="12">
        <v>0.78</v>
      </c>
      <c r="C8" s="12" t="s">
        <v>44</v>
      </c>
      <c r="D8" s="12">
        <v>0.18</v>
      </c>
      <c r="E8" s="12">
        <f>E4*9.81*D8</f>
        <v>0.88290000000000002</v>
      </c>
      <c r="F8" s="12">
        <v>0.9</v>
      </c>
      <c r="G8" s="12">
        <f t="shared" ref="G8:G9" si="0">E8/(B8*F8)</f>
        <v>1.2576923076923077</v>
      </c>
      <c r="H8" s="11">
        <v>8</v>
      </c>
      <c r="I8" s="11">
        <f t="shared" ref="I8" si="1">H8/G8</f>
        <v>6.3608562691131496</v>
      </c>
    </row>
    <row r="9" spans="1:9" x14ac:dyDescent="0.25">
      <c r="A9" s="12" t="s">
        <v>34</v>
      </c>
      <c r="B9" s="12">
        <v>0.28999999999999998</v>
      </c>
      <c r="C9" s="12" t="s">
        <v>44</v>
      </c>
      <c r="D9" s="12">
        <v>0.06</v>
      </c>
      <c r="E9" s="12">
        <f>E4*9.81*D9</f>
        <v>0.29430000000000001</v>
      </c>
      <c r="F9" s="12">
        <v>0.9</v>
      </c>
      <c r="G9" s="12">
        <f>E9/(B9*F9)</f>
        <v>1.1275862068965516</v>
      </c>
      <c r="H9" s="11">
        <v>4</v>
      </c>
      <c r="I9" s="11">
        <f>H9/G9</f>
        <v>3.5474006116207955</v>
      </c>
    </row>
    <row r="10" spans="1:9" x14ac:dyDescent="0.25">
      <c r="A10" s="12" t="s">
        <v>35</v>
      </c>
      <c r="B10" s="12" t="s">
        <v>28</v>
      </c>
      <c r="C10" s="12" t="s">
        <v>46</v>
      </c>
      <c r="D10" s="12"/>
      <c r="E10" s="12"/>
      <c r="F10" s="12"/>
      <c r="G10" s="12"/>
      <c r="H10" s="12"/>
      <c r="I10" s="12"/>
    </row>
    <row r="12" spans="1:9" x14ac:dyDescent="0.25">
      <c r="B12" s="2"/>
    </row>
    <row r="15" spans="1:9" x14ac:dyDescent="0.25">
      <c r="B15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Specifications</vt:lpstr>
      <vt:lpstr>Joint Mechanism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Ruitao Zhao</dc:creator>
  <cp:lastModifiedBy>Ruitao Zhao</cp:lastModifiedBy>
  <dcterms:created xsi:type="dcterms:W3CDTF">2026-05-03T15:54:14Z</dcterms:created>
  <dcterms:modified xsi:type="dcterms:W3CDTF">2026-08-15T02:49:32Z</dcterms:modified>
</cp:coreProperties>
</file>